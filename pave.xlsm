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555" windowWidth="13695" windowHeight="6750" activeTab="5"/>
  </bookViews>
  <sheets>
    <sheet name="试验规范" sheetId="12" r:id="rId1"/>
    <sheet name="相关条件" sheetId="18" r:id="rId2"/>
    <sheet name="实验样件清单" sheetId="4" r:id="rId3"/>
    <sheet name="试验燃油消耗" sheetId="13" r:id="rId4"/>
    <sheet name="试验进度影响事件--折线图" sheetId="17" r:id="rId5"/>
    <sheet name="试验进度影响事件第一个表" sheetId="14" r:id="rId6"/>
    <sheet name="TIR统计表" sheetId="8" r:id="rId7"/>
    <sheet name="TIR列表" sheetId="16" r:id="rId8"/>
    <sheet name="试验样件更换记录" sheetId="21" r:id="rId9"/>
  </sheets>
  <functionGroups builtInGroupCount="17"/>
  <calcPr calcId="144525"/>
</workbook>
</file>

<file path=xl/calcChain.xml><?xml version="1.0" encoding="utf-8"?>
<calcChain xmlns="http://schemas.openxmlformats.org/spreadsheetml/2006/main">
  <c r="A2" i="14" l="1"/>
  <c r="F4" i="8" l="1"/>
  <c r="F6" i="8"/>
  <c r="B8" i="8"/>
  <c r="C8" i="8"/>
  <c r="D8" i="8"/>
  <c r="E8" i="8"/>
  <c r="F2" i="8"/>
  <c r="F3" i="8"/>
  <c r="F5" i="8"/>
  <c r="F7" i="8"/>
  <c r="A2" i="13"/>
  <c r="A3" i="18"/>
  <c r="A21" i="12"/>
  <c r="F8" i="8" l="1"/>
  <c r="L1" i="17"/>
  <c r="B3" i="12"/>
</calcChain>
</file>

<file path=xl/sharedStrings.xml><?xml version="1.0" encoding="utf-8"?>
<sst xmlns="http://schemas.openxmlformats.org/spreadsheetml/2006/main" count="174" uniqueCount="144">
  <si>
    <t xml:space="preserve">更换样件名称
Replaced Parts
Appellation </t>
    <phoneticPr fontId="1" type="noConversion"/>
  </si>
  <si>
    <t>部门
Dep</t>
    <phoneticPr fontId="1" type="noConversion"/>
  </si>
  <si>
    <t>车辆
Vehicle</t>
    <phoneticPr fontId="1" type="noConversion"/>
  </si>
  <si>
    <t>里程
Mil</t>
    <phoneticPr fontId="1" type="noConversion"/>
  </si>
  <si>
    <t>进度
Sch</t>
    <phoneticPr fontId="1" type="noConversion"/>
  </si>
  <si>
    <t>原因
Reason</t>
    <phoneticPr fontId="1" type="noConversion"/>
  </si>
  <si>
    <t>CH</t>
    <phoneticPr fontId="1" type="noConversion"/>
  </si>
  <si>
    <r>
      <t>2</t>
    </r>
    <r>
      <rPr>
        <sz val="11"/>
        <rFont val="Calibri"/>
        <family val="2"/>
      </rPr>
      <t>70km</t>
    </r>
    <phoneticPr fontId="1" type="noConversion"/>
  </si>
  <si>
    <r>
      <rPr>
        <sz val="11"/>
        <rFont val="宋体"/>
        <family val="3"/>
        <charset val="134"/>
      </rPr>
      <t>每</t>
    </r>
    <r>
      <rPr>
        <sz val="11"/>
        <rFont val="Calibri"/>
        <family val="2"/>
      </rPr>
      <t>50%</t>
    </r>
    <r>
      <rPr>
        <sz val="11"/>
        <rFont val="宋体"/>
        <family val="3"/>
        <charset val="134"/>
      </rPr>
      <t>更换</t>
    </r>
    <phoneticPr fontId="1" type="noConversion"/>
  </si>
  <si>
    <t>TIR编号
TIR NO</t>
    <phoneticPr fontId="1" type="noConversion"/>
  </si>
  <si>
    <t>TIR 报告题目
Title</t>
    <phoneticPr fontId="1" type="noConversion"/>
  </si>
  <si>
    <t>等级
Lev</t>
    <phoneticPr fontId="1" type="noConversion"/>
  </si>
  <si>
    <t>发布日期
Pub Date</t>
    <phoneticPr fontId="1" type="noConversion"/>
  </si>
  <si>
    <t>车辆编号
Vehicle No</t>
    <phoneticPr fontId="1" type="noConversion"/>
  </si>
  <si>
    <t>里程
Mil（km）</t>
    <phoneticPr fontId="1" type="noConversion"/>
  </si>
  <si>
    <t>状态
Sta</t>
    <phoneticPr fontId="1" type="noConversion"/>
  </si>
  <si>
    <t>部门
Dept</t>
    <phoneticPr fontId="1" type="noConversion"/>
  </si>
  <si>
    <t>总计
Sum</t>
    <phoneticPr fontId="1" type="noConversion"/>
  </si>
  <si>
    <r>
      <rPr>
        <sz val="11"/>
        <rFont val="宋体"/>
        <family val="3"/>
        <charset val="134"/>
      </rPr>
      <t>底盘</t>
    </r>
    <r>
      <rPr>
        <sz val="11"/>
        <rFont val="Calibri"/>
        <family val="2"/>
      </rPr>
      <t>/CH</t>
    </r>
    <phoneticPr fontId="1" type="noConversion"/>
  </si>
  <si>
    <t>1级
A</t>
    <phoneticPr fontId="1" type="noConversion"/>
  </si>
  <si>
    <t>4级
C</t>
    <phoneticPr fontId="1" type="noConversion"/>
  </si>
  <si>
    <t>2级
A</t>
    <phoneticPr fontId="1" type="noConversion"/>
  </si>
  <si>
    <t>3级
B</t>
    <phoneticPr fontId="1" type="noConversion"/>
  </si>
  <si>
    <r>
      <rPr>
        <sz val="11"/>
        <rFont val="宋体"/>
        <family val="3"/>
        <charset val="134"/>
      </rPr>
      <t>车身</t>
    </r>
    <r>
      <rPr>
        <sz val="11"/>
        <rFont val="Calibri"/>
        <family val="2"/>
      </rPr>
      <t>/BO</t>
    </r>
    <phoneticPr fontId="1" type="noConversion"/>
  </si>
  <si>
    <r>
      <rPr>
        <sz val="11"/>
        <rFont val="宋体"/>
        <family val="3"/>
        <charset val="134"/>
      </rPr>
      <t xml:space="preserve">供应商质量前期
</t>
    </r>
    <r>
      <rPr>
        <sz val="11"/>
        <rFont val="Calibri"/>
        <family val="2"/>
      </rPr>
      <t>/SQBS</t>
    </r>
    <phoneticPr fontId="1" type="noConversion"/>
  </si>
  <si>
    <r>
      <rPr>
        <sz val="11"/>
        <rFont val="宋体"/>
        <family val="3"/>
        <charset val="134"/>
      </rPr>
      <t>电子电器</t>
    </r>
    <r>
      <rPr>
        <sz val="11"/>
        <rFont val="Calibri"/>
        <family val="2"/>
      </rPr>
      <t>/EE</t>
    </r>
    <phoneticPr fontId="1" type="noConversion"/>
  </si>
  <si>
    <t>车辆编号
MODEL</t>
    <phoneticPr fontId="1" type="noConversion"/>
  </si>
  <si>
    <t>完成百分比
Test Percent</t>
    <phoneticPr fontId="1" type="noConversion"/>
  </si>
  <si>
    <t>完成试验里程
TEST MIL</t>
    <phoneticPr fontId="1" type="noConversion"/>
  </si>
  <si>
    <t>试验开始时间
Test Start</t>
    <phoneticPr fontId="1" type="noConversion"/>
  </si>
  <si>
    <t>试验结束时间
Test Finish</t>
    <phoneticPr fontId="1" type="noConversion"/>
  </si>
  <si>
    <t>备注
Remarks</t>
    <phoneticPr fontId="1" type="noConversion"/>
  </si>
  <si>
    <t>序号
NO</t>
    <phoneticPr fontId="1" type="noConversion"/>
  </si>
  <si>
    <t>过程事件说明
EVENT NOTE</t>
    <phoneticPr fontId="1" type="noConversion"/>
  </si>
  <si>
    <t xml:space="preserve">开始时间
Start Time </t>
    <phoneticPr fontId="1" type="noConversion"/>
  </si>
  <si>
    <t>恢复时间
REC Time</t>
    <phoneticPr fontId="1" type="noConversion"/>
  </si>
  <si>
    <r>
      <rPr>
        <sz val="11"/>
        <rFont val="宋体"/>
        <family val="3"/>
        <charset val="134"/>
      </rPr>
      <t xml:space="preserve">因螺栓脱落故障暂停
</t>
    </r>
    <r>
      <rPr>
        <sz val="11"/>
        <rFont val="Calibri"/>
        <family val="2"/>
      </rPr>
      <t>Paused  due to bolt missing</t>
    </r>
    <phoneticPr fontId="1" type="noConversion"/>
  </si>
  <si>
    <t>燃料
FUEL</t>
    <phoneticPr fontId="1" type="noConversion"/>
  </si>
  <si>
    <t>消耗（度）
CONS（Kwh）</t>
    <phoneticPr fontId="1" type="noConversion"/>
  </si>
  <si>
    <t>试验总行驶里程
（公里）
TOTAL TEST 
MILEAGE（km）</t>
    <phoneticPr fontId="1" type="noConversion"/>
  </si>
  <si>
    <t>平均消耗量
（度/百公里）
AVERAGE CONS
（kwh/100km）</t>
    <phoneticPr fontId="1" type="noConversion"/>
  </si>
  <si>
    <t>SVPPS</t>
    <phoneticPr fontId="1" type="noConversion"/>
  </si>
  <si>
    <t>名称
Appellation</t>
    <phoneticPr fontId="1" type="noConversion"/>
  </si>
  <si>
    <t>是否参与认证
For Validation or Not</t>
    <phoneticPr fontId="1" type="noConversion"/>
  </si>
  <si>
    <t>造车后样件状态
Parts Status</t>
    <phoneticPr fontId="1" type="noConversion"/>
  </si>
  <si>
    <t>前部结构
Front Strurture</t>
    <phoneticPr fontId="1" type="noConversion"/>
  </si>
  <si>
    <t>√</t>
  </si>
  <si>
    <t>G</t>
    <phoneticPr fontId="1" type="noConversion"/>
  </si>
  <si>
    <t>备注</t>
    <phoneticPr fontId="1" type="noConversion"/>
  </si>
  <si>
    <t>减震器总成</t>
    <phoneticPr fontId="1" type="noConversion"/>
  </si>
  <si>
    <t>序号
No</t>
    <phoneticPr fontId="1" type="noConversion"/>
  </si>
  <si>
    <t>2020/4/15</t>
    <phoneticPr fontId="1" type="noConversion"/>
  </si>
  <si>
    <t>2020/4/19</t>
    <phoneticPr fontId="1" type="noConversion"/>
  </si>
  <si>
    <t>2020/4/23</t>
    <phoneticPr fontId="1" type="noConversion"/>
  </si>
  <si>
    <t>2020/4/25</t>
    <phoneticPr fontId="1" type="noConversion"/>
  </si>
  <si>
    <t>2020/6/12</t>
    <phoneticPr fontId="1" type="noConversion"/>
  </si>
  <si>
    <t>2020/6/23</t>
    <phoneticPr fontId="1" type="noConversion"/>
  </si>
  <si>
    <t>前地板结构
Front Floor Structure</t>
    <phoneticPr fontId="1" type="noConversion"/>
  </si>
  <si>
    <t>后地板结构
Rear Floor Structure</t>
    <phoneticPr fontId="1" type="noConversion"/>
  </si>
  <si>
    <t>前部结构
Cell Module</t>
    <phoneticPr fontId="1" type="noConversion"/>
  </si>
  <si>
    <t>电能</t>
    <phoneticPr fontId="1" type="noConversion"/>
  </si>
  <si>
    <t>2248km</t>
    <phoneticPr fontId="1" type="noConversion"/>
  </si>
  <si>
    <r>
      <t>2</t>
    </r>
    <r>
      <rPr>
        <sz val="11"/>
        <rFont val="Calibri"/>
        <family val="2"/>
      </rPr>
      <t>020/11/24</t>
    </r>
    <phoneticPr fontId="1" type="noConversion"/>
  </si>
  <si>
    <t>2020/12/24</t>
    <phoneticPr fontId="1" type="noConversion"/>
  </si>
  <si>
    <t>R-EP22-08-CN EP</t>
    <phoneticPr fontId="1" type="noConversion"/>
  </si>
  <si>
    <t>产品名称</t>
    <phoneticPr fontId="1" type="noConversion"/>
  </si>
  <si>
    <t xml:space="preserve"> </t>
    <phoneticPr fontId="1" type="noConversion"/>
  </si>
  <si>
    <t>计划进度</t>
    <phoneticPr fontId="1" type="noConversion"/>
  </si>
  <si>
    <t>试验进度</t>
    <phoneticPr fontId="1" type="noConversion"/>
  </si>
  <si>
    <t xml:space="preserve">乘用车车身简要结构耐久性实验方法
</t>
    <phoneticPr fontId="1" type="noConversion"/>
  </si>
  <si>
    <t>车辆编号</t>
    <phoneticPr fontId="1" type="noConversion"/>
  </si>
  <si>
    <t>轴距</t>
    <phoneticPr fontId="1" type="noConversion"/>
  </si>
  <si>
    <t>前轮距</t>
    <phoneticPr fontId="1" type="noConversion"/>
  </si>
  <si>
    <t>后轮距</t>
    <phoneticPr fontId="1" type="noConversion"/>
  </si>
  <si>
    <t>车辆编号</t>
    <phoneticPr fontId="1" type="noConversion"/>
  </si>
  <si>
    <t>整备质量</t>
    <phoneticPr fontId="1" type="noConversion"/>
  </si>
  <si>
    <t>整车最大质量</t>
    <phoneticPr fontId="1" type="noConversion"/>
  </si>
  <si>
    <t>CVW</t>
    <phoneticPr fontId="1" type="noConversion"/>
  </si>
  <si>
    <t>前轴
FRONT
AXLE</t>
    <phoneticPr fontId="1" type="noConversion"/>
  </si>
  <si>
    <t>后轴
REAR
AXLE</t>
    <phoneticPr fontId="1" type="noConversion"/>
  </si>
  <si>
    <r>
      <t>E</t>
    </r>
    <r>
      <rPr>
        <sz val="11"/>
        <rFont val="Calibri"/>
        <family val="2"/>
      </rPr>
      <t>19SOV307</t>
    </r>
    <phoneticPr fontId="1" type="noConversion"/>
  </si>
  <si>
    <t>GVW</t>
    <phoneticPr fontId="1" type="noConversion"/>
  </si>
  <si>
    <t>轮胎型号</t>
    <phoneticPr fontId="1" type="noConversion"/>
  </si>
  <si>
    <t>胎压值</t>
    <phoneticPr fontId="1" type="noConversion"/>
  </si>
  <si>
    <r>
      <t>2</t>
    </r>
    <r>
      <rPr>
        <sz val="11"/>
        <rFont val="Calibri"/>
        <family val="2"/>
      </rPr>
      <t>05/60 R16</t>
    </r>
    <phoneticPr fontId="1" type="noConversion"/>
  </si>
  <si>
    <r>
      <rPr>
        <b/>
        <sz val="24"/>
        <color rgb="FFFF0000"/>
        <rFont val="宋体"/>
        <family val="3"/>
        <charset val="134"/>
      </rPr>
      <t>表</t>
    </r>
    <r>
      <rPr>
        <b/>
        <sz val="24"/>
        <color rgb="FFFF0000"/>
        <rFont val="Calibri"/>
        <family val="2"/>
      </rPr>
      <t>2</t>
    </r>
    <r>
      <rPr>
        <b/>
        <sz val="24"/>
        <color rgb="FFFF0000"/>
        <rFont val="宋体"/>
        <family val="3"/>
        <charset val="134"/>
      </rPr>
      <t>整车质量</t>
    </r>
    <phoneticPr fontId="1" type="noConversion"/>
  </si>
  <si>
    <r>
      <rPr>
        <b/>
        <sz val="24"/>
        <color rgb="FFFF0000"/>
        <rFont val="宋体"/>
        <family val="3"/>
        <charset val="134"/>
      </rPr>
      <t>表</t>
    </r>
    <r>
      <rPr>
        <b/>
        <sz val="24"/>
        <color rgb="FFFF0000"/>
        <rFont val="Calibri"/>
        <family val="2"/>
      </rPr>
      <t>1</t>
    </r>
    <r>
      <rPr>
        <b/>
        <sz val="24"/>
        <color rgb="FFFF0000"/>
        <rFont val="宋体"/>
        <family val="3"/>
        <charset val="134"/>
      </rPr>
      <t>基本尺寸</t>
    </r>
    <phoneticPr fontId="1" type="noConversion"/>
  </si>
  <si>
    <r>
      <rPr>
        <b/>
        <sz val="24"/>
        <color rgb="FFFF0000"/>
        <rFont val="宋体"/>
        <family val="3"/>
        <charset val="134"/>
      </rPr>
      <t>表</t>
    </r>
    <r>
      <rPr>
        <b/>
        <sz val="24"/>
        <color rgb="FFFF0000"/>
        <rFont val="Calibri"/>
        <family val="2"/>
      </rPr>
      <t>3</t>
    </r>
    <r>
      <rPr>
        <b/>
        <sz val="24"/>
        <color rgb="FFFF0000"/>
        <rFont val="宋体"/>
        <family val="3"/>
        <charset val="134"/>
      </rPr>
      <t>实验胎压信息</t>
    </r>
    <phoneticPr fontId="1" type="noConversion"/>
  </si>
  <si>
    <t>试验报告封面数据</t>
    <phoneticPr fontId="1" type="noConversion"/>
  </si>
  <si>
    <t>Passenger vehicle body structure durability
test specification</t>
    <phoneticPr fontId="1" type="noConversion"/>
  </si>
  <si>
    <t>SMTC 3 OH2 001-2014(V2)</t>
    <phoneticPr fontId="1" type="noConversion"/>
  </si>
  <si>
    <t>E20SOV809</t>
    <phoneticPr fontId="1" type="noConversion"/>
  </si>
  <si>
    <t>51kwh+120kwh</t>
    <phoneticPr fontId="1" type="noConversion"/>
  </si>
  <si>
    <t>EP</t>
    <phoneticPr fontId="1" type="noConversion"/>
  </si>
  <si>
    <t>LSJE24035LS995724</t>
    <phoneticPr fontId="1" type="noConversion"/>
  </si>
  <si>
    <t>安亭</t>
    <phoneticPr fontId="1" type="noConversion"/>
  </si>
  <si>
    <t>周智键；毛明东</t>
    <phoneticPr fontId="1" type="noConversion"/>
  </si>
  <si>
    <t>New development vehicle based on EP22,mainly validate body.</t>
    <phoneticPr fontId="1" type="noConversion"/>
  </si>
  <si>
    <r>
      <rPr>
        <sz val="14"/>
        <rFont val="宋体"/>
        <family val="3"/>
        <charset val="134"/>
      </rPr>
      <t>基于</t>
    </r>
    <r>
      <rPr>
        <sz val="14"/>
        <rFont val="Calibri"/>
        <family val="2"/>
      </rPr>
      <t>EP22</t>
    </r>
    <r>
      <rPr>
        <sz val="14"/>
        <rFont val="宋体"/>
        <family val="3"/>
        <charset val="134"/>
      </rPr>
      <t>平台全新开发，主要考核车身。</t>
    </r>
    <phoneticPr fontId="1" type="noConversion"/>
  </si>
  <si>
    <t>EP22 换电</t>
    <phoneticPr fontId="1" type="noConversion"/>
  </si>
  <si>
    <t>E20SOV809</t>
    <phoneticPr fontId="1" type="noConversion"/>
  </si>
  <si>
    <t>EP</t>
    <phoneticPr fontId="1" type="noConversion"/>
  </si>
  <si>
    <r>
      <t xml:space="preserve"> </t>
    </r>
    <r>
      <rPr>
        <sz val="11"/>
        <rFont val="Calibri"/>
        <family val="2"/>
      </rPr>
      <t xml:space="preserve">   </t>
    </r>
    <phoneticPr fontId="1" type="noConversion"/>
  </si>
  <si>
    <t xml:space="preserve">    </t>
    <phoneticPr fontId="1" type="noConversion"/>
  </si>
  <si>
    <t xml:space="preserve">  </t>
    <phoneticPr fontId="1" type="noConversion"/>
  </si>
  <si>
    <t xml:space="preserve"> </t>
    <phoneticPr fontId="1" type="noConversion"/>
  </si>
  <si>
    <r>
      <rPr>
        <sz val="16"/>
        <color theme="1"/>
        <rFont val="宋体"/>
        <family val="3"/>
        <charset val="134"/>
      </rPr>
      <t xml:space="preserve">乘用车车身简要结构耐久性实验方法
</t>
    </r>
    <r>
      <rPr>
        <sz val="16"/>
        <color theme="1"/>
        <rFont val="Calibri"/>
        <family val="2"/>
      </rPr>
      <t>Passenger vehicle body structure durability
test specification</t>
    </r>
    <phoneticPr fontId="1" type="noConversion"/>
  </si>
  <si>
    <r>
      <t>c</t>
    </r>
    <r>
      <rPr>
        <b/>
        <sz val="26"/>
        <rFont val="宋体"/>
        <family val="3"/>
        <charset val="134"/>
      </rPr>
      <t>）试验车辆</t>
    </r>
    <phoneticPr fontId="1" type="noConversion"/>
  </si>
  <si>
    <t>AnTing</t>
    <phoneticPr fontId="1" type="noConversion"/>
  </si>
  <si>
    <t>Zhou Zhijian;Mao Mingdong</t>
    <phoneticPr fontId="1" type="noConversion"/>
  </si>
  <si>
    <t xml:space="preserve"> </t>
    <phoneticPr fontId="1" type="noConversion"/>
  </si>
  <si>
    <t xml:space="preserve"> </t>
    <phoneticPr fontId="1" type="noConversion"/>
  </si>
  <si>
    <t>日期</t>
    <phoneticPr fontId="1" type="noConversion"/>
  </si>
  <si>
    <r>
      <rPr>
        <sz val="11"/>
        <rFont val="宋体"/>
        <family val="3"/>
        <charset val="134"/>
      </rPr>
      <t xml:space="preserve">动力总成
</t>
    </r>
    <r>
      <rPr>
        <sz val="11"/>
        <rFont val="Calibri"/>
        <family val="2"/>
      </rPr>
      <t>/PT</t>
    </r>
    <phoneticPr fontId="1" type="noConversion"/>
  </si>
  <si>
    <r>
      <rPr>
        <sz val="11"/>
        <rFont val="宋体"/>
        <family val="3"/>
        <charset val="134"/>
      </rPr>
      <t>捷能</t>
    </r>
    <r>
      <rPr>
        <sz val="11"/>
        <rFont val="Calibri"/>
        <family val="2"/>
      </rPr>
      <t>/SEAT</t>
    </r>
    <phoneticPr fontId="1" type="noConversion"/>
  </si>
  <si>
    <t>产品型号</t>
    <phoneticPr fontId="1" type="noConversion"/>
  </si>
  <si>
    <t>实验项目</t>
    <phoneticPr fontId="1" type="noConversion"/>
  </si>
  <si>
    <t>项目</t>
    <phoneticPr fontId="1" type="noConversion"/>
  </si>
  <si>
    <t>车号</t>
    <phoneticPr fontId="1" type="noConversion"/>
  </si>
  <si>
    <t>阶段</t>
    <phoneticPr fontId="1" type="noConversion"/>
  </si>
  <si>
    <t>试验车辆简述其目的</t>
    <phoneticPr fontId="1" type="noConversion"/>
  </si>
  <si>
    <t>规范名称</t>
    <phoneticPr fontId="1" type="noConversion"/>
  </si>
  <si>
    <t>备注</t>
    <phoneticPr fontId="1" type="noConversion"/>
  </si>
  <si>
    <t>车辆编号</t>
    <phoneticPr fontId="1" type="noConversion"/>
  </si>
  <si>
    <t>动力总成配置</t>
    <phoneticPr fontId="1" type="noConversion"/>
  </si>
  <si>
    <t>车辆识别号</t>
    <phoneticPr fontId="1" type="noConversion"/>
  </si>
  <si>
    <t>试验时间</t>
    <phoneticPr fontId="1" type="noConversion"/>
  </si>
  <si>
    <t>试验地点</t>
    <phoneticPr fontId="1" type="noConversion"/>
  </si>
  <si>
    <t>试验人员</t>
    <phoneticPr fontId="1" type="noConversion"/>
  </si>
  <si>
    <t>图表标题</t>
    <phoneticPr fontId="1" type="noConversion"/>
  </si>
  <si>
    <t>规范编号</t>
    <phoneticPr fontId="1" type="noConversion"/>
  </si>
  <si>
    <t>2020.04.13~2020.05.13</t>
    <phoneticPr fontId="1" type="noConversion"/>
  </si>
  <si>
    <t xml:space="preserve"> </t>
    <phoneticPr fontId="1" type="noConversion"/>
  </si>
  <si>
    <t>日期
Date</t>
    <phoneticPr fontId="1" type="noConversion"/>
  </si>
  <si>
    <t>2020/4/16</t>
    <phoneticPr fontId="1" type="noConversion"/>
  </si>
  <si>
    <t>E20SOV809</t>
  </si>
  <si>
    <t xml:space="preserve"> </t>
    <phoneticPr fontId="1" type="noConversion"/>
  </si>
  <si>
    <t xml:space="preserve"> </t>
    <phoneticPr fontId="1" type="noConversion"/>
  </si>
  <si>
    <t xml:space="preserve">  </t>
    <phoneticPr fontId="1" type="noConversion"/>
  </si>
  <si>
    <t xml:space="preserve">                   </t>
    <phoneticPr fontId="1" type="noConversion"/>
  </si>
  <si>
    <t xml:space="preserve">          </t>
    <phoneticPr fontId="1" type="noConversion"/>
  </si>
  <si>
    <t xml:space="preserve">         </t>
    <phoneticPr fontId="1" type="noConversion"/>
  </si>
  <si>
    <t xml:space="preserve">       </t>
    <phoneticPr fontId="1" type="noConversion"/>
  </si>
  <si>
    <t xml:space="preserve">      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</si>
</sst>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name val="Calibri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Calibri"/>
      <family val="2"/>
    </font>
    <font>
      <sz val="11"/>
      <name val="Calibri"/>
    </font>
    <font>
      <b/>
      <sz val="16"/>
      <name val="宋体"/>
      <family val="3"/>
      <charset val="134"/>
    </font>
    <font>
      <b/>
      <sz val="26"/>
      <name val="宋体"/>
      <family val="3"/>
      <charset val="134"/>
    </font>
    <font>
      <sz val="11"/>
      <color rgb="FFFF0000"/>
      <name val="Calibri"/>
      <family val="2"/>
    </font>
    <font>
      <b/>
      <sz val="24"/>
      <color rgb="FFFF0000"/>
      <name val="Calibri"/>
      <family val="2"/>
    </font>
    <font>
      <b/>
      <sz val="24"/>
      <color rgb="FFFF0000"/>
      <name val="宋体"/>
      <family val="3"/>
      <charset val="134"/>
    </font>
    <font>
      <sz val="14"/>
      <name val="宋体"/>
      <family val="3"/>
      <charset val="134"/>
    </font>
    <font>
      <sz val="14"/>
      <name val="Calibri"/>
      <family val="2"/>
    </font>
    <font>
      <sz val="16"/>
      <name val="宋体"/>
      <family val="3"/>
      <charset val="134"/>
    </font>
    <font>
      <sz val="16"/>
      <name val="Calibri"/>
      <family val="2"/>
    </font>
    <font>
      <b/>
      <sz val="22"/>
      <color theme="1"/>
      <name val="宋体"/>
      <family val="3"/>
      <charset val="134"/>
    </font>
    <font>
      <b/>
      <sz val="22"/>
      <color theme="1"/>
      <name val="Calibri"/>
      <family val="2"/>
    </font>
    <font>
      <sz val="16"/>
      <color theme="1"/>
      <name val="Calibri"/>
      <family val="2"/>
    </font>
    <font>
      <sz val="16"/>
      <color theme="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71">
    <xf numFmtId="0" fontId="0" fillId="0" borderId="0" xfId="0" applyNumberFormat="1" applyFont="1"/>
    <xf numFmtId="0" fontId="2" fillId="0" borderId="0" xfId="0" applyNumberFormat="1" applyFont="1" applyAlignment="1">
      <alignment horizontal="center" wrapText="1"/>
    </xf>
    <xf numFmtId="0" fontId="0" fillId="0" borderId="0" xfId="0" applyNumberFormat="1" applyFont="1" applyAlignment="1">
      <alignment horizontal="center"/>
    </xf>
    <xf numFmtId="0" fontId="0" fillId="2" borderId="0" xfId="0" applyNumberFormat="1" applyFont="1" applyFill="1"/>
    <xf numFmtId="0" fontId="0" fillId="3" borderId="0" xfId="0" applyNumberFormat="1" applyFont="1" applyFill="1"/>
    <xf numFmtId="0" fontId="0" fillId="3" borderId="0" xfId="0" applyNumberFormat="1" applyFont="1" applyFill="1" applyAlignment="1">
      <alignment horizontal="center"/>
    </xf>
    <xf numFmtId="0" fontId="14" fillId="2" borderId="0" xfId="0" applyNumberFormat="1" applyFont="1" applyFill="1" applyAlignment="1">
      <alignment horizontal="center"/>
    </xf>
    <xf numFmtId="0" fontId="0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 wrapText="1"/>
    </xf>
    <xf numFmtId="0" fontId="0" fillId="0" borderId="1" xfId="0" applyNumberFormat="1" applyFont="1" applyBorder="1"/>
    <xf numFmtId="0" fontId="8" fillId="0" borderId="0" xfId="0" applyNumberFormat="1" applyFont="1" applyBorder="1" applyAlignment="1"/>
    <xf numFmtId="0" fontId="0" fillId="0" borderId="0" xfId="0" applyNumberFormat="1" applyFont="1" applyBorder="1"/>
    <xf numFmtId="0" fontId="0" fillId="2" borderId="0" xfId="0" applyNumberFormat="1" applyFont="1" applyFill="1" applyBorder="1"/>
    <xf numFmtId="0" fontId="7" fillId="2" borderId="0" xfId="0" applyNumberFormat="1" applyFont="1" applyFill="1" applyBorder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/>
    </xf>
    <xf numFmtId="0" fontId="0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12" fillId="4" borderId="1" xfId="0" applyNumberFormat="1" applyFont="1" applyFill="1" applyBorder="1" applyAlignment="1">
      <alignment horizontal="center" vertical="center" wrapText="1"/>
    </xf>
    <xf numFmtId="0" fontId="11" fillId="4" borderId="1" xfId="0" applyNumberFormat="1" applyFont="1" applyFill="1" applyBorder="1" applyAlignment="1">
      <alignment horizontal="center" vertical="center"/>
    </xf>
    <xf numFmtId="0" fontId="16" fillId="4" borderId="1" xfId="0" applyNumberFormat="1" applyFont="1" applyFill="1" applyBorder="1" applyAlignment="1">
      <alignment horizontal="center"/>
    </xf>
    <xf numFmtId="0" fontId="16" fillId="4" borderId="1" xfId="0" applyNumberFormat="1" applyFont="1" applyFill="1" applyBorder="1" applyAlignment="1">
      <alignment horizontal="center" vertical="center" wrapText="1"/>
    </xf>
    <xf numFmtId="0" fontId="13" fillId="4" borderId="1" xfId="0" applyNumberFormat="1" applyFont="1" applyFill="1" applyBorder="1" applyAlignment="1">
      <alignment horizontal="center" wrapText="1"/>
    </xf>
    <xf numFmtId="0" fontId="13" fillId="4" borderId="1" xfId="0" applyNumberFormat="1" applyFont="1" applyFill="1" applyBorder="1" applyAlignment="1">
      <alignment horizontal="center" vertical="center" wrapText="1"/>
    </xf>
    <xf numFmtId="0" fontId="11" fillId="4" borderId="1" xfId="0" applyNumberFormat="1" applyFont="1" applyFill="1" applyBorder="1" applyAlignment="1">
      <alignment horizontal="center" wrapText="1"/>
    </xf>
    <xf numFmtId="0" fontId="13" fillId="0" borderId="1" xfId="0" applyNumberFormat="1" applyFont="1" applyFill="1" applyBorder="1" applyAlignment="1">
      <alignment horizontal="center" wrapText="1"/>
    </xf>
    <xf numFmtId="0" fontId="13" fillId="0" borderId="1" xfId="0" applyNumberFormat="1" applyFont="1" applyFill="1" applyBorder="1" applyAlignment="1">
      <alignment horizontal="center" vertical="center" wrapText="1"/>
    </xf>
    <xf numFmtId="0" fontId="13" fillId="4" borderId="1" xfId="0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Alignment="1"/>
    <xf numFmtId="0" fontId="5" fillId="2" borderId="1" xfId="0" applyNumberFormat="1" applyFont="1" applyFill="1" applyBorder="1" applyAlignment="1">
      <alignment horizontal="center" vertical="center"/>
    </xf>
    <xf numFmtId="0" fontId="16" fillId="4" borderId="1" xfId="0" applyNumberFormat="1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/>
    </xf>
    <xf numFmtId="0" fontId="3" fillId="5" borderId="1" xfId="0" applyNumberFormat="1" applyFont="1" applyFill="1" applyBorder="1" applyAlignment="1">
      <alignment horizontal="center" vertical="center"/>
    </xf>
    <xf numFmtId="0" fontId="0" fillId="5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vertical="center" wrapText="1"/>
    </xf>
    <xf numFmtId="0" fontId="3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wrapText="1"/>
    </xf>
    <xf numFmtId="0" fontId="2" fillId="5" borderId="1" xfId="0" applyNumberFormat="1" applyFont="1" applyFill="1" applyBorder="1" applyAlignment="1">
      <alignment horizontal="center"/>
    </xf>
    <xf numFmtId="0" fontId="2" fillId="5" borderId="1" xfId="0" applyNumberFormat="1" applyFont="1" applyFill="1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/>
    </xf>
    <xf numFmtId="9" fontId="0" fillId="6" borderId="1" xfId="0" applyNumberFormat="1" applyFont="1" applyFill="1" applyBorder="1" applyAlignment="1">
      <alignment horizontal="center"/>
    </xf>
    <xf numFmtId="9" fontId="0" fillId="6" borderId="1" xfId="1" applyFont="1" applyFill="1" applyBorder="1" applyAlignment="1">
      <alignment horizontal="center"/>
    </xf>
    <xf numFmtId="0" fontId="2" fillId="6" borderId="1" xfId="0" applyNumberFormat="1" applyFont="1" applyFill="1" applyBorder="1" applyAlignment="1">
      <alignment vertical="center"/>
    </xf>
    <xf numFmtId="9" fontId="0" fillId="6" borderId="1" xfId="0" applyNumberFormat="1" applyFont="1" applyFill="1" applyBorder="1" applyAlignment="1">
      <alignment vertical="center"/>
    </xf>
    <xf numFmtId="49" fontId="3" fillId="6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 vertical="center"/>
    </xf>
    <xf numFmtId="0" fontId="0" fillId="6" borderId="1" xfId="0" applyNumberFormat="1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 wrapText="1"/>
    </xf>
    <xf numFmtId="14" fontId="0" fillId="6" borderId="1" xfId="0" applyNumberFormat="1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0" fillId="6" borderId="5" xfId="0" applyNumberFormat="1" applyFont="1" applyFill="1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0" fontId="3" fillId="6" borderId="5" xfId="0" applyNumberFormat="1" applyFont="1" applyFill="1" applyBorder="1" applyAlignment="1">
      <alignment horizontal="center" vertical="center"/>
    </xf>
    <xf numFmtId="9" fontId="0" fillId="6" borderId="5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wrapText="1"/>
    </xf>
    <xf numFmtId="0" fontId="14" fillId="2" borderId="2" xfId="0" applyNumberFormat="1" applyFont="1" applyFill="1" applyBorder="1" applyAlignment="1">
      <alignment horizontal="center" vertical="center"/>
    </xf>
    <xf numFmtId="0" fontId="14" fillId="2" borderId="4" xfId="0" applyNumberFormat="1" applyFont="1" applyFill="1" applyBorder="1" applyAlignment="1">
      <alignment horizontal="center" vertical="center"/>
    </xf>
    <xf numFmtId="0" fontId="5" fillId="2" borderId="5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horizontal="center" vertical="center"/>
    </xf>
    <xf numFmtId="0" fontId="14" fillId="2" borderId="2" xfId="0" applyNumberFormat="1" applyFont="1" applyFill="1" applyBorder="1" applyAlignment="1">
      <alignment horizontal="center"/>
    </xf>
    <xf numFmtId="0" fontId="14" fillId="2" borderId="3" xfId="0" applyNumberFormat="1" applyFont="1" applyFill="1" applyBorder="1" applyAlignment="1">
      <alignment horizontal="center"/>
    </xf>
    <xf numFmtId="0" fontId="14" fillId="2" borderId="4" xfId="0" applyNumberFormat="1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en-US" altLang="zh-CN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E20SOV809-PAVE </a:t>
            </a:r>
            <a:r>
              <a:rPr lang="zh-CN" alt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进度曲线图</a:t>
            </a:r>
            <a:endParaRPr lang="zh-CN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'试验进度影响事件--折线图'!$B$1</c:f>
              <c:strCache>
                <c:ptCount val="1"/>
                <c:pt idx="0">
                  <c:v>计划进度</c:v>
                </c:pt>
              </c:strCache>
            </c:strRef>
          </c:tx>
          <c:cat>
            <c:strRef>
              <c:f>'试验进度影响事件--折线图'!$A$2:$A$12</c:f>
              <c:strCache>
                <c:ptCount val="11"/>
                <c:pt idx="0">
                  <c:v>2020/4/15</c:v>
                </c:pt>
                <c:pt idx="1">
                  <c:v>2020/4/15</c:v>
                </c:pt>
                <c:pt idx="2">
                  <c:v>2020/4/19</c:v>
                </c:pt>
                <c:pt idx="3">
                  <c:v>2020/4/23</c:v>
                </c:pt>
                <c:pt idx="4">
                  <c:v>2020/4/25</c:v>
                </c:pt>
                <c:pt idx="5">
                  <c:v>2020/6/12</c:v>
                </c:pt>
                <c:pt idx="6">
                  <c:v>2020/6/23</c:v>
                </c:pt>
                <c:pt idx="7">
                  <c:v>2020/6/23</c:v>
                </c:pt>
                <c:pt idx="8">
                  <c:v>2020/6/23</c:v>
                </c:pt>
                <c:pt idx="9">
                  <c:v>2020/6/23</c:v>
                </c:pt>
                <c:pt idx="10">
                  <c:v>2020/6/23</c:v>
                </c:pt>
              </c:strCache>
            </c:strRef>
          </c:cat>
          <c:val>
            <c:numRef>
              <c:f>'试验进度影响事件--折线图'!$B$2:$B$12</c:f>
              <c:numCache>
                <c:formatCode>0%</c:formatCode>
                <c:ptCount val="11"/>
                <c:pt idx="0">
                  <c:v>0</c:v>
                </c:pt>
                <c:pt idx="1">
                  <c:v>0.02</c:v>
                </c:pt>
                <c:pt idx="2">
                  <c:v>0.06</c:v>
                </c:pt>
                <c:pt idx="3">
                  <c:v>0.13</c:v>
                </c:pt>
                <c:pt idx="4">
                  <c:v>0.23</c:v>
                </c:pt>
                <c:pt idx="5">
                  <c:v>0.36</c:v>
                </c:pt>
                <c:pt idx="6">
                  <c:v>0.73</c:v>
                </c:pt>
                <c:pt idx="7">
                  <c:v>0.73</c:v>
                </c:pt>
                <c:pt idx="8">
                  <c:v>0.73</c:v>
                </c:pt>
                <c:pt idx="9">
                  <c:v>0.73</c:v>
                </c:pt>
                <c:pt idx="10">
                  <c:v>0.73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'试验进度影响事件--折线图'!$C$1</c:f>
              <c:strCache>
                <c:ptCount val="1"/>
                <c:pt idx="0">
                  <c:v>试验进度</c:v>
                </c:pt>
              </c:strCache>
            </c:strRef>
          </c:tx>
          <c:cat>
            <c:strRef>
              <c:f>'试验进度影响事件--折线图'!$A$2:$A$12</c:f>
              <c:strCache>
                <c:ptCount val="11"/>
                <c:pt idx="0">
                  <c:v>2020/4/15</c:v>
                </c:pt>
                <c:pt idx="1">
                  <c:v>2020/4/15</c:v>
                </c:pt>
                <c:pt idx="2">
                  <c:v>2020/4/19</c:v>
                </c:pt>
                <c:pt idx="3">
                  <c:v>2020/4/23</c:v>
                </c:pt>
                <c:pt idx="4">
                  <c:v>2020/4/25</c:v>
                </c:pt>
                <c:pt idx="5">
                  <c:v>2020/6/12</c:v>
                </c:pt>
                <c:pt idx="6">
                  <c:v>2020/6/23</c:v>
                </c:pt>
                <c:pt idx="7">
                  <c:v>2020/6/23</c:v>
                </c:pt>
                <c:pt idx="8">
                  <c:v>2020/6/23</c:v>
                </c:pt>
                <c:pt idx="9">
                  <c:v>2020/6/23</c:v>
                </c:pt>
                <c:pt idx="10">
                  <c:v>2020/6/23</c:v>
                </c:pt>
              </c:strCache>
            </c:strRef>
          </c:cat>
          <c:val>
            <c:numRef>
              <c:f>'试验进度影响事件--折线图'!$C$2:$C$12</c:f>
              <c:numCache>
                <c:formatCode>0%</c:formatCode>
                <c:ptCount val="11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16128"/>
        <c:axId val="314017664"/>
      </c:lineChart>
      <c:catAx>
        <c:axId val="31401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314017664"/>
        <c:crosses val="autoZero"/>
        <c:auto val="1"/>
        <c:lblAlgn val="ctr"/>
        <c:lblOffset val="100"/>
        <c:noMultiLvlLbl val="0"/>
      </c:catAx>
      <c:valAx>
        <c:axId val="3140176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4016128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7416666666666667"/>
          <c:y val="0.55092592592592593"/>
          <c:w val="0.19444444444444445"/>
          <c:h val="0.16743438320209975"/>
        </c:manualLayout>
      </c:layout>
      <c:overlay val="1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0</xdr:row>
          <xdr:rowOff>142875</xdr:rowOff>
        </xdr:from>
        <xdr:to>
          <xdr:col>6</xdr:col>
          <xdr:colOff>533400</xdr:colOff>
          <xdr:row>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257175</xdr:colOff>
      <xdr:row>2</xdr:row>
      <xdr:rowOff>52387</xdr:rowOff>
    </xdr:from>
    <xdr:to>
      <xdr:col>13</xdr:col>
      <xdr:colOff>133350</xdr:colOff>
      <xdr:row>16</xdr:row>
      <xdr:rowOff>128587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1"/>
  <sheetViews>
    <sheetView showGridLines="0" topLeftCell="A10" zoomScaleNormal="100" workbookViewId="0">
      <selection activeCell="A17" sqref="A17"/>
    </sheetView>
  </sheetViews>
  <sheetFormatPr defaultRowHeight="15"/>
  <cols>
    <col min="1" max="1" width="38" bestFit="1" customWidth="1"/>
    <col min="2" max="2" width="78" style="18" customWidth="1"/>
    <col min="3" max="3" width="42.5703125" customWidth="1"/>
    <col min="4" max="4" width="50.85546875" customWidth="1"/>
    <col min="5" max="5" width="23.140625" customWidth="1"/>
    <col min="6" max="6" width="13.140625" customWidth="1"/>
  </cols>
  <sheetData>
    <row r="1" spans="1:24" ht="42.75" customHeight="1">
      <c r="A1" s="61" t="s">
        <v>88</v>
      </c>
      <c r="B1" s="62"/>
      <c r="C1" s="30"/>
    </row>
    <row r="2" spans="1:24" ht="39" customHeight="1">
      <c r="A2" s="31" t="s">
        <v>65</v>
      </c>
      <c r="B2" s="28" t="s">
        <v>64</v>
      </c>
      <c r="C2" s="15"/>
    </row>
    <row r="3" spans="1:24" ht="50.25" customHeight="1">
      <c r="A3" s="31" t="s">
        <v>115</v>
      </c>
      <c r="B3" s="28" t="str">
        <f>B6&amp;"-"&amp;B8&amp;"/"&amp;B7</f>
        <v>EP22 换电-EP/E20SOV809</v>
      </c>
      <c r="C3" s="15"/>
      <c r="D3" s="9"/>
      <c r="E3" s="9"/>
    </row>
    <row r="4" spans="1:24" ht="43.5" customHeight="1">
      <c r="A4" s="63" t="s">
        <v>116</v>
      </c>
      <c r="B4" s="19" t="s">
        <v>69</v>
      </c>
      <c r="C4" s="16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ht="39" customHeight="1">
      <c r="A5" s="64"/>
      <c r="B5" s="29" t="s">
        <v>89</v>
      </c>
      <c r="C5" s="16"/>
      <c r="D5" s="2"/>
      <c r="E5" s="2"/>
      <c r="F5" s="7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s="15" customFormat="1" ht="54.75" customHeight="1">
      <c r="A6" s="31" t="s">
        <v>117</v>
      </c>
      <c r="B6" s="19" t="s">
        <v>99</v>
      </c>
      <c r="C6" s="16"/>
      <c r="D6" s="16"/>
      <c r="E6" s="16"/>
      <c r="F6" s="16"/>
    </row>
    <row r="7" spans="1:24" s="15" customFormat="1" ht="54.75" customHeight="1">
      <c r="A7" s="31" t="s">
        <v>118</v>
      </c>
      <c r="B7" s="19" t="s">
        <v>100</v>
      </c>
      <c r="C7" s="16"/>
      <c r="D7" s="16"/>
      <c r="E7" s="16"/>
      <c r="F7" s="16"/>
    </row>
    <row r="8" spans="1:24" s="15" customFormat="1" ht="54.75" customHeight="1">
      <c r="A8" s="31" t="s">
        <v>119</v>
      </c>
      <c r="B8" s="19" t="s">
        <v>101</v>
      </c>
      <c r="C8" s="16"/>
      <c r="D8" s="16"/>
      <c r="E8" s="16"/>
      <c r="F8" s="16"/>
    </row>
    <row r="9" spans="1:24" s="15" customFormat="1" ht="39" customHeight="1">
      <c r="A9" s="63" t="s">
        <v>120</v>
      </c>
      <c r="B9" s="20" t="s">
        <v>98</v>
      </c>
      <c r="C9" s="16"/>
      <c r="D9" s="16"/>
      <c r="E9" s="16"/>
      <c r="F9" s="16"/>
    </row>
    <row r="10" spans="1:24" s="15" customFormat="1" ht="73.5" customHeight="1">
      <c r="A10" s="64"/>
      <c r="B10" s="20" t="s">
        <v>97</v>
      </c>
      <c r="C10" s="16"/>
      <c r="D10" s="16"/>
      <c r="E10" s="16"/>
      <c r="F10" s="16"/>
    </row>
    <row r="11" spans="1:24" ht="6" customHeight="1">
      <c r="A11" s="4"/>
      <c r="B11" s="17"/>
      <c r="C11" s="6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s="4" customFormat="1" ht="40.5" customHeight="1">
      <c r="A12" s="31" t="s">
        <v>130</v>
      </c>
      <c r="B12" s="31" t="s">
        <v>121</v>
      </c>
      <c r="C12" s="31" t="s">
        <v>122</v>
      </c>
      <c r="D12"/>
      <c r="E12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ht="60" customHeight="1">
      <c r="A13" s="32" t="s">
        <v>90</v>
      </c>
      <c r="B13" s="22" t="s">
        <v>106</v>
      </c>
      <c r="C13" s="21" t="s">
        <v>111</v>
      </c>
      <c r="D13" s="2"/>
      <c r="E13" s="2"/>
      <c r="F13" s="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</row>
    <row r="14" spans="1:24" ht="6" customHeight="1">
      <c r="A14" s="4"/>
      <c r="B14" s="17"/>
      <c r="C14" s="4"/>
      <c r="D14" s="5"/>
      <c r="E14" s="5"/>
      <c r="F14" s="7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</row>
    <row r="15" spans="1:24" ht="44.25" customHeight="1">
      <c r="A15" s="65" t="s">
        <v>107</v>
      </c>
      <c r="B15" s="66"/>
      <c r="C15" s="66"/>
      <c r="D15" s="66"/>
      <c r="E15" s="67"/>
      <c r="F15" s="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</row>
    <row r="16" spans="1:24" s="4" customFormat="1" ht="27.75" customHeight="1">
      <c r="A16" s="31" t="s">
        <v>123</v>
      </c>
      <c r="B16" s="31" t="s">
        <v>124</v>
      </c>
      <c r="C16" s="31" t="s">
        <v>119</v>
      </c>
      <c r="D16" s="31" t="s">
        <v>125</v>
      </c>
      <c r="E16" s="31" t="s">
        <v>122</v>
      </c>
      <c r="F16" s="7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</row>
    <row r="17" spans="1:24" ht="45" customHeight="1">
      <c r="A17" s="24" t="s">
        <v>91</v>
      </c>
      <c r="B17" s="24" t="s">
        <v>92</v>
      </c>
      <c r="C17" s="24" t="s">
        <v>93</v>
      </c>
      <c r="D17" s="24" t="s">
        <v>94</v>
      </c>
      <c r="E17" s="23" t="s">
        <v>110</v>
      </c>
      <c r="F17" s="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1:24" ht="6" customHeight="1">
      <c r="A18" s="4"/>
      <c r="B18" s="4"/>
      <c r="C18" s="4"/>
      <c r="D18" s="4"/>
      <c r="E18" s="8" t="s">
        <v>66</v>
      </c>
      <c r="F18" s="7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ht="20.25">
      <c r="A19" s="31" t="s">
        <v>126</v>
      </c>
      <c r="B19" s="31" t="s">
        <v>127</v>
      </c>
      <c r="C19" s="31" t="s">
        <v>128</v>
      </c>
      <c r="F19" s="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ht="38.25" customHeight="1">
      <c r="A20" s="25" t="s">
        <v>131</v>
      </c>
      <c r="B20" s="19" t="s">
        <v>95</v>
      </c>
      <c r="C20" s="23" t="s">
        <v>96</v>
      </c>
      <c r="F20" s="2"/>
    </row>
    <row r="21" spans="1:24" ht="40.5" customHeight="1">
      <c r="A21" s="26" t="str">
        <f>A20</f>
        <v>2020.04.13~2020.05.13</v>
      </c>
      <c r="B21" s="27" t="s">
        <v>108</v>
      </c>
      <c r="C21" s="26" t="s">
        <v>109</v>
      </c>
      <c r="F21" s="2"/>
    </row>
    <row r="22" spans="1:24" ht="27" customHeight="1"/>
    <row r="29" spans="1:24">
      <c r="A29" t="s">
        <v>132</v>
      </c>
    </row>
    <row r="31" spans="1:24">
      <c r="A31" t="s">
        <v>105</v>
      </c>
    </row>
  </sheetData>
  <mergeCells count="4">
    <mergeCell ref="A1:B1"/>
    <mergeCell ref="A9:A10"/>
    <mergeCell ref="A4:A5"/>
    <mergeCell ref="A15:E15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showGridLines="0" zoomScale="115" zoomScaleNormal="115" workbookViewId="0">
      <selection activeCell="A11" sqref="A11:E11"/>
    </sheetView>
  </sheetViews>
  <sheetFormatPr defaultRowHeight="15"/>
  <cols>
    <col min="1" max="1" width="15.140625" style="12" customWidth="1"/>
    <col min="2" max="2" width="17.140625" style="12" customWidth="1"/>
    <col min="3" max="3" width="13.5703125" style="12" customWidth="1"/>
    <col min="4" max="4" width="12.28515625" style="12" customWidth="1"/>
    <col min="5" max="5" width="13" style="12" customWidth="1"/>
    <col min="6" max="6" width="11.7109375" style="12" customWidth="1"/>
    <col min="7" max="7" width="13.42578125" style="12" customWidth="1"/>
    <col min="8" max="8" width="4.42578125" style="12" customWidth="1"/>
    <col min="9" max="9" width="3.85546875" style="12" customWidth="1"/>
    <col min="10" max="16384" width="9.140625" style="12"/>
  </cols>
  <sheetData>
    <row r="1" spans="1:9" ht="41.25" customHeight="1">
      <c r="A1" s="70" t="s">
        <v>86</v>
      </c>
      <c r="B1" s="70"/>
      <c r="C1" s="70"/>
      <c r="D1" s="70"/>
      <c r="E1" s="13"/>
    </row>
    <row r="2" spans="1:9">
      <c r="A2" s="37" t="s">
        <v>70</v>
      </c>
      <c r="B2" s="37" t="s">
        <v>71</v>
      </c>
      <c r="C2" s="37" t="s">
        <v>72</v>
      </c>
      <c r="D2" s="37" t="s">
        <v>73</v>
      </c>
      <c r="E2" s="13"/>
    </row>
    <row r="3" spans="1:9" ht="44.25" customHeight="1">
      <c r="A3" s="36" t="str">
        <f>试验规范!B7</f>
        <v>E20SOV809</v>
      </c>
      <c r="B3" s="35">
        <v>1234</v>
      </c>
      <c r="C3" s="35">
        <v>12345</v>
      </c>
      <c r="D3" s="35">
        <v>123456</v>
      </c>
      <c r="E3" s="13"/>
    </row>
    <row r="4" spans="1:9" ht="16.5" customHeight="1">
      <c r="A4" s="14"/>
      <c r="B4" s="14"/>
      <c r="C4" s="14"/>
      <c r="D4" s="14"/>
      <c r="E4" s="14"/>
      <c r="F4" s="14"/>
      <c r="G4" s="14"/>
      <c r="H4" s="13"/>
      <c r="I4" s="13"/>
    </row>
    <row r="5" spans="1:9" ht="39.75" customHeight="1">
      <c r="A5" s="70" t="s">
        <v>85</v>
      </c>
      <c r="B5" s="70"/>
      <c r="C5" s="70"/>
      <c r="D5" s="70"/>
      <c r="E5" s="70"/>
      <c r="F5" s="70"/>
      <c r="G5" s="70"/>
      <c r="H5" s="11"/>
      <c r="I5" s="13"/>
    </row>
    <row r="6" spans="1:9" ht="48.75" customHeight="1">
      <c r="A6" s="68" t="s">
        <v>74</v>
      </c>
      <c r="B6" s="68" t="s">
        <v>75</v>
      </c>
      <c r="C6" s="69"/>
      <c r="D6" s="69"/>
      <c r="E6" s="68" t="s">
        <v>76</v>
      </c>
      <c r="F6" s="69"/>
      <c r="G6" s="69"/>
      <c r="H6" s="13"/>
    </row>
    <row r="7" spans="1:9" ht="48.75" customHeight="1">
      <c r="A7" s="68"/>
      <c r="B7" s="39" t="s">
        <v>77</v>
      </c>
      <c r="C7" s="40" t="s">
        <v>78</v>
      </c>
      <c r="D7" s="40" t="s">
        <v>79</v>
      </c>
      <c r="E7" s="39" t="s">
        <v>81</v>
      </c>
      <c r="F7" s="40" t="s">
        <v>78</v>
      </c>
      <c r="G7" s="40" t="s">
        <v>79</v>
      </c>
      <c r="H7" s="13"/>
    </row>
    <row r="8" spans="1:9" ht="48.75" customHeight="1">
      <c r="A8" s="34" t="s">
        <v>80</v>
      </c>
      <c r="B8" s="35">
        <v>1555</v>
      </c>
      <c r="C8" s="35">
        <v>871.2</v>
      </c>
      <c r="D8" s="35">
        <v>693.8</v>
      </c>
      <c r="E8" s="35">
        <v>1997</v>
      </c>
      <c r="F8" s="35">
        <v>975</v>
      </c>
      <c r="G8" s="35">
        <v>1021</v>
      </c>
      <c r="H8" s="13"/>
    </row>
    <row r="9" spans="1:9" s="13" customFormat="1"/>
    <row r="10" spans="1:9" ht="43.5" customHeight="1">
      <c r="A10" s="70" t="s">
        <v>87</v>
      </c>
      <c r="B10" s="70"/>
      <c r="C10" s="70"/>
      <c r="D10" s="70"/>
      <c r="E10" s="70"/>
      <c r="F10" s="11"/>
      <c r="G10" s="11"/>
      <c r="H10" s="13"/>
    </row>
    <row r="11" spans="1:9" ht="31.5" customHeight="1">
      <c r="A11" s="37" t="s">
        <v>74</v>
      </c>
      <c r="B11" s="37" t="s">
        <v>82</v>
      </c>
      <c r="C11" s="68" t="s">
        <v>83</v>
      </c>
      <c r="D11" s="69"/>
      <c r="E11" s="37" t="s">
        <v>48</v>
      </c>
      <c r="H11" s="13"/>
    </row>
    <row r="12" spans="1:9" ht="37.5" customHeight="1">
      <c r="A12" s="34" t="s">
        <v>80</v>
      </c>
      <c r="B12" s="34" t="s">
        <v>84</v>
      </c>
      <c r="C12" s="35">
        <v>2.2999999999999998</v>
      </c>
      <c r="D12" s="35">
        <v>2.2999999999999998</v>
      </c>
      <c r="E12" s="34" t="s">
        <v>102</v>
      </c>
      <c r="H12" s="13"/>
    </row>
    <row r="13" spans="1:9" s="13" customFormat="1" ht="14.25" customHeight="1"/>
  </sheetData>
  <mergeCells count="7">
    <mergeCell ref="C11:D11"/>
    <mergeCell ref="A1:D1"/>
    <mergeCell ref="A6:A7"/>
    <mergeCell ref="B6:D6"/>
    <mergeCell ref="E6:G6"/>
    <mergeCell ref="A5:G5"/>
    <mergeCell ref="A10:E1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workbookViewId="0">
      <selection sqref="A1:D1"/>
    </sheetView>
  </sheetViews>
  <sheetFormatPr defaultRowHeight="15"/>
  <cols>
    <col min="1" max="1" width="16.7109375" customWidth="1"/>
    <col min="2" max="2" width="31.85546875" customWidth="1"/>
    <col min="3" max="3" width="29.140625" customWidth="1"/>
    <col min="4" max="4" width="33.140625" customWidth="1"/>
    <col min="5" max="5" width="23.85546875" customWidth="1"/>
  </cols>
  <sheetData>
    <row r="1" spans="1:5" ht="58.5" customHeight="1">
      <c r="A1" s="40" t="s">
        <v>41</v>
      </c>
      <c r="B1" s="40" t="s">
        <v>42</v>
      </c>
      <c r="C1" s="40" t="s">
        <v>43</v>
      </c>
      <c r="D1" s="40" t="s">
        <v>44</v>
      </c>
      <c r="E1" s="1"/>
    </row>
    <row r="2" spans="1:5" ht="31.5" customHeight="1">
      <c r="A2" s="33">
        <v>511</v>
      </c>
      <c r="B2" s="41" t="s">
        <v>45</v>
      </c>
      <c r="C2" s="42" t="s">
        <v>46</v>
      </c>
      <c r="D2" s="42" t="s">
        <v>47</v>
      </c>
    </row>
    <row r="3" spans="1:5" ht="31.5" customHeight="1">
      <c r="A3" s="33">
        <v>512</v>
      </c>
      <c r="B3" s="41" t="s">
        <v>57</v>
      </c>
      <c r="C3" s="42" t="s">
        <v>46</v>
      </c>
      <c r="D3" s="42" t="s">
        <v>47</v>
      </c>
    </row>
    <row r="4" spans="1:5" ht="31.5" customHeight="1">
      <c r="A4" s="33">
        <v>513</v>
      </c>
      <c r="B4" s="41" t="s">
        <v>58</v>
      </c>
      <c r="C4" s="42" t="s">
        <v>46</v>
      </c>
      <c r="D4" s="42" t="s">
        <v>47</v>
      </c>
    </row>
    <row r="5" spans="1:5" ht="31.5" customHeight="1">
      <c r="A5" s="33">
        <v>112</v>
      </c>
      <c r="B5" s="41" t="s">
        <v>59</v>
      </c>
      <c r="C5" s="42" t="s">
        <v>46</v>
      </c>
      <c r="D5" s="42" t="s">
        <v>47</v>
      </c>
    </row>
    <row r="6" spans="1:5" ht="47.25" customHeight="1"/>
    <row r="7" spans="1:5" ht="39" customHeight="1"/>
    <row r="8" spans="1:5" ht="29.25" customHeight="1"/>
    <row r="9" spans="1:5" ht="39" customHeight="1"/>
    <row r="10" spans="1:5" ht="36" customHeight="1"/>
    <row r="11" spans="1:5" ht="37.5" customHeight="1"/>
    <row r="12" spans="1:5" ht="33.75" customHeight="1"/>
    <row r="14" spans="1:5" ht="32.2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"/>
  <sheetViews>
    <sheetView workbookViewId="0">
      <selection activeCell="A2" sqref="A2"/>
    </sheetView>
  </sheetViews>
  <sheetFormatPr defaultRowHeight="15"/>
  <cols>
    <col min="1" max="1" width="17" customWidth="1"/>
    <col min="3" max="3" width="14.28515625" customWidth="1"/>
    <col min="4" max="4" width="16.140625" customWidth="1"/>
    <col min="5" max="5" width="17" customWidth="1"/>
  </cols>
  <sheetData>
    <row r="1" spans="1:5" ht="63.75" customHeight="1">
      <c r="A1" s="40" t="s">
        <v>26</v>
      </c>
      <c r="B1" s="40" t="s">
        <v>37</v>
      </c>
      <c r="C1" s="40" t="s">
        <v>38</v>
      </c>
      <c r="D1" s="40" t="s">
        <v>39</v>
      </c>
      <c r="E1" s="40" t="s">
        <v>40</v>
      </c>
    </row>
    <row r="2" spans="1:5" ht="44.25" customHeight="1">
      <c r="A2" s="36" t="str">
        <f>试验规范!B7</f>
        <v>E20SOV809</v>
      </c>
      <c r="B2" s="43" t="s">
        <v>60</v>
      </c>
      <c r="C2" s="43">
        <v>369.6</v>
      </c>
      <c r="D2" s="43">
        <v>2248</v>
      </c>
      <c r="E2" s="43">
        <v>16.399999999999999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sqref="A1:C12"/>
    </sheetView>
  </sheetViews>
  <sheetFormatPr defaultRowHeight="15"/>
  <cols>
    <col min="1" max="3" width="16" style="10" customWidth="1"/>
    <col min="12" max="12" width="33.85546875" customWidth="1"/>
  </cols>
  <sheetData>
    <row r="1" spans="1:12" ht="18.75" customHeight="1">
      <c r="A1" s="37" t="s">
        <v>112</v>
      </c>
      <c r="B1" s="37" t="s">
        <v>67</v>
      </c>
      <c r="C1" s="37" t="s">
        <v>68</v>
      </c>
      <c r="K1" s="37" t="s">
        <v>129</v>
      </c>
      <c r="L1" s="50" t="str">
        <f>试验规范!B7&amp;"-PAVE 进度曲线图"</f>
        <v>E20SOV809-PAVE 进度曲线图</v>
      </c>
    </row>
    <row r="2" spans="1:12">
      <c r="A2" s="44" t="s">
        <v>51</v>
      </c>
      <c r="B2" s="45">
        <v>0</v>
      </c>
      <c r="C2" s="45">
        <v>0.2</v>
      </c>
    </row>
    <row r="3" spans="1:12">
      <c r="A3" s="44" t="s">
        <v>51</v>
      </c>
      <c r="B3" s="45">
        <v>0.02</v>
      </c>
      <c r="C3" s="46">
        <v>0.3</v>
      </c>
    </row>
    <row r="4" spans="1:12">
      <c r="A4" s="44" t="s">
        <v>52</v>
      </c>
      <c r="B4" s="45">
        <v>0.06</v>
      </c>
      <c r="C4" s="46">
        <v>0.4</v>
      </c>
    </row>
    <row r="5" spans="1:12">
      <c r="A5" s="44" t="s">
        <v>53</v>
      </c>
      <c r="B5" s="45">
        <v>0.13</v>
      </c>
      <c r="C5" s="46">
        <v>0.5</v>
      </c>
    </row>
    <row r="6" spans="1:12">
      <c r="A6" s="44" t="s">
        <v>54</v>
      </c>
      <c r="B6" s="45">
        <v>0.23</v>
      </c>
      <c r="C6" s="46">
        <v>0.6</v>
      </c>
    </row>
    <row r="7" spans="1:12">
      <c r="A7" s="44" t="s">
        <v>55</v>
      </c>
      <c r="B7" s="45">
        <v>0.36</v>
      </c>
      <c r="C7" s="46">
        <v>0.7</v>
      </c>
    </row>
    <row r="8" spans="1:12">
      <c r="A8" s="44" t="s">
        <v>56</v>
      </c>
      <c r="B8" s="45">
        <v>0.73</v>
      </c>
      <c r="C8" s="46">
        <v>0.8</v>
      </c>
    </row>
    <row r="9" spans="1:12">
      <c r="A9" s="44" t="s">
        <v>56</v>
      </c>
      <c r="B9" s="45">
        <v>0.73</v>
      </c>
      <c r="C9" s="46">
        <v>0.8</v>
      </c>
    </row>
    <row r="10" spans="1:12">
      <c r="A10" s="44" t="s">
        <v>56</v>
      </c>
      <c r="B10" s="45">
        <v>0.73</v>
      </c>
      <c r="C10" s="46">
        <v>0.8</v>
      </c>
    </row>
    <row r="11" spans="1:12">
      <c r="A11" s="44" t="s">
        <v>56</v>
      </c>
      <c r="B11" s="45">
        <v>0.73</v>
      </c>
      <c r="C11" s="46">
        <v>0.8</v>
      </c>
    </row>
    <row r="12" spans="1:12">
      <c r="A12" s="44" t="s">
        <v>56</v>
      </c>
      <c r="B12" s="45">
        <v>0.73</v>
      </c>
      <c r="C12" s="46">
        <v>0.8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66675</xdr:colOff>
                <xdr:row>0</xdr:row>
                <xdr:rowOff>142875</xdr:rowOff>
              </from>
              <to>
                <xdr:col>6</xdr:col>
                <xdr:colOff>533400</xdr:colOff>
                <xdr:row>3</xdr:row>
                <xdr:rowOff>95250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"/>
  <sheetViews>
    <sheetView tabSelected="1" workbookViewId="0">
      <selection activeCell="S7" sqref="S7"/>
    </sheetView>
  </sheetViews>
  <sheetFormatPr defaultRowHeight="15"/>
  <cols>
    <col min="1" max="1" width="17.140625" customWidth="1"/>
    <col min="2" max="2" width="22.5703125" customWidth="1"/>
    <col min="3" max="3" width="16.28515625" customWidth="1"/>
    <col min="4" max="4" width="15.28515625" customWidth="1"/>
    <col min="5" max="5" width="14.42578125" customWidth="1"/>
  </cols>
  <sheetData>
    <row r="1" spans="1:6" ht="27">
      <c r="A1" s="38" t="s">
        <v>26</v>
      </c>
      <c r="B1" s="38" t="s">
        <v>28</v>
      </c>
      <c r="C1" s="38" t="s">
        <v>27</v>
      </c>
      <c r="D1" s="38" t="s">
        <v>29</v>
      </c>
      <c r="E1" s="38" t="s">
        <v>30</v>
      </c>
      <c r="F1" s="38" t="s">
        <v>31</v>
      </c>
    </row>
    <row r="2" spans="1:6" ht="65.25" customHeight="1">
      <c r="A2" s="36" t="str">
        <f>试验规范!B7</f>
        <v>E20SOV809</v>
      </c>
      <c r="B2" s="47" t="s">
        <v>61</v>
      </c>
      <c r="C2" s="48">
        <v>1</v>
      </c>
      <c r="D2" s="49" t="s">
        <v>62</v>
      </c>
      <c r="E2" s="49" t="s">
        <v>63</v>
      </c>
      <c r="F2" s="47" t="s">
        <v>103</v>
      </c>
    </row>
    <row r="3" spans="1:6" ht="27">
      <c r="A3" s="40" t="s">
        <v>32</v>
      </c>
      <c r="B3" s="40" t="s">
        <v>33</v>
      </c>
      <c r="C3" s="40" t="s">
        <v>34</v>
      </c>
      <c r="D3" s="40" t="s">
        <v>35</v>
      </c>
      <c r="E3" s="40" t="s">
        <v>31</v>
      </c>
    </row>
    <row r="4" spans="1:6" ht="43.5">
      <c r="A4" s="51">
        <v>1</v>
      </c>
      <c r="B4" s="52" t="s">
        <v>36</v>
      </c>
      <c r="C4" s="49" t="s">
        <v>62</v>
      </c>
      <c r="D4" s="53">
        <v>43947</v>
      </c>
      <c r="E4" s="51" t="s">
        <v>104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8"/>
  <sheetViews>
    <sheetView workbookViewId="0">
      <selection activeCell="J33" sqref="J33"/>
    </sheetView>
  </sheetViews>
  <sheetFormatPr defaultRowHeight="15"/>
  <cols>
    <col min="1" max="1" width="22" customWidth="1"/>
    <col min="2" max="2" width="7.7109375" customWidth="1"/>
    <col min="3" max="3" width="8.42578125" customWidth="1"/>
    <col min="4" max="4" width="8.5703125" customWidth="1"/>
    <col min="5" max="5" width="8" customWidth="1"/>
    <col min="6" max="6" width="10.85546875" customWidth="1"/>
  </cols>
  <sheetData>
    <row r="1" spans="1:6" ht="27">
      <c r="A1" s="40" t="s">
        <v>16</v>
      </c>
      <c r="B1" s="40" t="s">
        <v>19</v>
      </c>
      <c r="C1" s="40" t="s">
        <v>21</v>
      </c>
      <c r="D1" s="40" t="s">
        <v>22</v>
      </c>
      <c r="E1" s="40" t="s">
        <v>20</v>
      </c>
      <c r="F1" s="40" t="s">
        <v>17</v>
      </c>
    </row>
    <row r="2" spans="1:6" ht="34.5" customHeight="1">
      <c r="A2" s="54" t="s">
        <v>18</v>
      </c>
      <c r="B2" s="51">
        <v>0</v>
      </c>
      <c r="C2" s="51">
        <v>0</v>
      </c>
      <c r="D2" s="51">
        <v>0</v>
      </c>
      <c r="E2" s="51">
        <v>0</v>
      </c>
      <c r="F2" s="50">
        <f t="shared" ref="F2:F8" si="0">SUM(B2:E2)</f>
        <v>0</v>
      </c>
    </row>
    <row r="3" spans="1:6" ht="30" customHeight="1">
      <c r="A3" s="54" t="s">
        <v>23</v>
      </c>
      <c r="B3" s="51">
        <v>0</v>
      </c>
      <c r="C3" s="51">
        <v>0</v>
      </c>
      <c r="D3" s="51">
        <v>0</v>
      </c>
      <c r="E3" s="51">
        <v>0</v>
      </c>
      <c r="F3" s="50">
        <f t="shared" si="0"/>
        <v>0</v>
      </c>
    </row>
    <row r="4" spans="1:6" ht="33.75" customHeight="1">
      <c r="A4" s="52" t="s">
        <v>113</v>
      </c>
      <c r="B4" s="51">
        <v>0</v>
      </c>
      <c r="C4" s="51">
        <v>0</v>
      </c>
      <c r="D4" s="51">
        <v>0</v>
      </c>
      <c r="E4" s="51">
        <v>0</v>
      </c>
      <c r="F4" s="50">
        <f t="shared" si="0"/>
        <v>0</v>
      </c>
    </row>
    <row r="5" spans="1:6" ht="41.25" customHeight="1">
      <c r="A5" s="52" t="s">
        <v>24</v>
      </c>
      <c r="B5" s="51">
        <v>0</v>
      </c>
      <c r="C5" s="51">
        <v>0</v>
      </c>
      <c r="D5" s="51">
        <v>0</v>
      </c>
      <c r="E5" s="51">
        <v>0</v>
      </c>
      <c r="F5" s="50">
        <f t="shared" si="0"/>
        <v>0</v>
      </c>
    </row>
    <row r="6" spans="1:6" ht="29.25" customHeight="1">
      <c r="A6" s="54" t="s">
        <v>114</v>
      </c>
      <c r="B6" s="51">
        <v>0</v>
      </c>
      <c r="C6" s="51">
        <v>0</v>
      </c>
      <c r="D6" s="51">
        <v>0</v>
      </c>
      <c r="E6" s="51">
        <v>0</v>
      </c>
      <c r="F6" s="50">
        <f t="shared" si="0"/>
        <v>0</v>
      </c>
    </row>
    <row r="7" spans="1:6">
      <c r="A7" s="54" t="s">
        <v>25</v>
      </c>
      <c r="B7" s="51">
        <v>0</v>
      </c>
      <c r="C7" s="51">
        <v>0</v>
      </c>
      <c r="D7" s="51">
        <v>0</v>
      </c>
      <c r="E7" s="51">
        <v>0</v>
      </c>
      <c r="F7" s="50">
        <f t="shared" si="0"/>
        <v>0</v>
      </c>
    </row>
    <row r="8" spans="1:6" ht="27.75" customHeight="1">
      <c r="A8" s="40" t="s">
        <v>17</v>
      </c>
      <c r="B8" s="50">
        <f>SUM(B2:B7)</f>
        <v>0</v>
      </c>
      <c r="C8" s="50">
        <f>SUM(C2:C7)</f>
        <v>0</v>
      </c>
      <c r="D8" s="50">
        <f>SUM(D2:D7)</f>
        <v>0</v>
      </c>
      <c r="E8" s="50">
        <f>SUM(E2:E7)</f>
        <v>0</v>
      </c>
      <c r="F8" s="50">
        <f t="shared" si="0"/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I3" sqref="I3"/>
    </sheetView>
  </sheetViews>
  <sheetFormatPr defaultRowHeight="15"/>
  <cols>
    <col min="1" max="2" width="9.140625" style="50"/>
    <col min="3" max="3" width="37.7109375" style="50" customWidth="1"/>
    <col min="4" max="4" width="9.140625" style="50"/>
    <col min="5" max="5" width="14.140625" style="50" customWidth="1"/>
    <col min="6" max="8" width="9.140625" style="50"/>
  </cols>
  <sheetData>
    <row r="1" spans="1:8" ht="54">
      <c r="A1" s="40" t="s">
        <v>50</v>
      </c>
      <c r="B1" s="40" t="s">
        <v>9</v>
      </c>
      <c r="C1" s="40" t="s">
        <v>10</v>
      </c>
      <c r="D1" s="40" t="s">
        <v>11</v>
      </c>
      <c r="E1" s="40" t="s">
        <v>12</v>
      </c>
      <c r="F1" s="40" t="s">
        <v>13</v>
      </c>
      <c r="G1" s="40" t="s">
        <v>14</v>
      </c>
      <c r="H1" s="40" t="s">
        <v>15</v>
      </c>
    </row>
    <row r="2" spans="1:8">
      <c r="A2" s="50" t="s">
        <v>136</v>
      </c>
      <c r="B2" s="50" t="s">
        <v>136</v>
      </c>
      <c r="C2" s="50" t="s">
        <v>137</v>
      </c>
      <c r="D2" s="50" t="s">
        <v>138</v>
      </c>
      <c r="E2" s="50" t="s">
        <v>138</v>
      </c>
      <c r="F2" s="50" t="s">
        <v>137</v>
      </c>
      <c r="G2" s="50" t="s">
        <v>136</v>
      </c>
      <c r="H2" s="50" t="s">
        <v>136</v>
      </c>
    </row>
    <row r="3" spans="1:8">
      <c r="A3" s="50" t="s">
        <v>136</v>
      </c>
      <c r="B3" s="50" t="s">
        <v>137</v>
      </c>
      <c r="C3" s="50" t="s">
        <v>139</v>
      </c>
      <c r="D3" s="50" t="s">
        <v>140</v>
      </c>
      <c r="E3" s="50" t="s">
        <v>141</v>
      </c>
      <c r="F3" s="50" t="s">
        <v>142</v>
      </c>
      <c r="G3" s="50" t="s">
        <v>143</v>
      </c>
      <c r="H3" s="50" t="s">
        <v>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E11" sqref="E11"/>
    </sheetView>
  </sheetViews>
  <sheetFormatPr defaultRowHeight="15"/>
  <cols>
    <col min="2" max="2" width="21.7109375" customWidth="1"/>
    <col min="4" max="4" width="13.42578125" customWidth="1"/>
    <col min="5" max="5" width="14.7109375" customWidth="1"/>
    <col min="8" max="8" width="14.28515625" customWidth="1"/>
  </cols>
  <sheetData>
    <row r="1" spans="1:8" ht="75.75" customHeight="1">
      <c r="A1" s="60" t="s">
        <v>50</v>
      </c>
      <c r="B1" s="40" t="s">
        <v>0</v>
      </c>
      <c r="C1" s="40" t="s">
        <v>1</v>
      </c>
      <c r="D1" s="40" t="s">
        <v>133</v>
      </c>
      <c r="E1" s="40" t="s">
        <v>2</v>
      </c>
      <c r="F1" s="40" t="s">
        <v>3</v>
      </c>
      <c r="G1" s="40" t="s">
        <v>4</v>
      </c>
      <c r="H1" s="40" t="s">
        <v>5</v>
      </c>
    </row>
    <row r="2" spans="1:8" ht="28.5" customHeight="1">
      <c r="A2" s="55">
        <v>1</v>
      </c>
      <c r="B2" s="56" t="s">
        <v>49</v>
      </c>
      <c r="C2" s="57" t="s">
        <v>6</v>
      </c>
      <c r="D2" s="59" t="s">
        <v>134</v>
      </c>
      <c r="E2" s="57" t="s">
        <v>135</v>
      </c>
      <c r="F2" s="57" t="s">
        <v>7</v>
      </c>
      <c r="G2" s="58">
        <v>7.0000000000000007E-2</v>
      </c>
      <c r="H2" s="57" t="s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试验规范</vt:lpstr>
      <vt:lpstr>相关条件</vt:lpstr>
      <vt:lpstr>实验样件清单</vt:lpstr>
      <vt:lpstr>试验燃油消耗</vt:lpstr>
      <vt:lpstr>试验进度影响事件--折线图</vt:lpstr>
      <vt:lpstr>试验进度影响事件第一个表</vt:lpstr>
      <vt:lpstr>TIR统计表</vt:lpstr>
      <vt:lpstr>TIR列表</vt:lpstr>
      <vt:lpstr>试验样件更换记录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AutoBVT</cp:lastModifiedBy>
  <dcterms:created xsi:type="dcterms:W3CDTF">2021-02-26T02:45:53Z</dcterms:created>
  <dcterms:modified xsi:type="dcterms:W3CDTF">2021-03-03T06:54:30Z</dcterms:modified>
</cp:coreProperties>
</file>